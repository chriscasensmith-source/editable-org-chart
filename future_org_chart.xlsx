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chri\AppData\Local\Microsoft\Olk\Attachments\ooa-181a257c-2e2c-4e47-850d-4f150451746c\7319d687f8838aee57793ede5ff6a413d604cd7c6c8bc2f68448c1dd11549f21\"/>
    </mc:Choice>
  </mc:AlternateContent>
  <xr:revisionPtr revIDLastSave="0" documentId="8_{3E94CA8C-D9DD-4036-B380-B39AECB0BD07}" xr6:coauthVersionLast="47" xr6:coauthVersionMax="47" xr10:uidLastSave="{00000000-0000-0000-0000-000000000000}"/>
  <bookViews>
    <workbookView xWindow="-110" yWindow="-110" windowWidth="19420" windowHeight="11500" xr2:uid="{FA1F2011-5A30-45FC-8C05-5842D3B81F82}"/>
  </bookViews>
  <sheets>
    <sheet name="Sheet1" sheetId="1" r:id="rId1"/>
  </sheets>
  <definedNames>
    <definedName name="_xlnm._FilterDatabase" localSheetId="0" hidden="1">Sheet1!$A$1:$M$42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" l="1"/>
  <c r="S13" i="1"/>
  <c r="S12" i="1"/>
  <c r="S11" i="1"/>
  <c r="S10" i="1"/>
  <c r="R13" i="1"/>
  <c r="R12" i="1"/>
  <c r="R11" i="1"/>
  <c r="R10" i="1"/>
  <c r="Q13" i="1"/>
  <c r="Q12" i="1"/>
  <c r="Q11" i="1"/>
  <c r="Q10" i="1"/>
  <c r="S7" i="1"/>
</calcChain>
</file>

<file path=xl/sharedStrings.xml><?xml version="1.0" encoding="utf-8"?>
<sst xmlns="http://schemas.openxmlformats.org/spreadsheetml/2006/main" count="384" uniqueCount="148">
  <si>
    <t>First</t>
  </si>
  <si>
    <t>Last</t>
  </si>
  <si>
    <t>F(x)</t>
  </si>
  <si>
    <t>Cell</t>
  </si>
  <si>
    <t>Shift</t>
  </si>
  <si>
    <t>Schedule</t>
  </si>
  <si>
    <t>Chloe</t>
  </si>
  <si>
    <t>Neumeyer</t>
  </si>
  <si>
    <t>Eng.</t>
  </si>
  <si>
    <t>M-W</t>
  </si>
  <si>
    <t>Engineering</t>
  </si>
  <si>
    <t>SMED</t>
  </si>
  <si>
    <t>Quality</t>
  </si>
  <si>
    <t>Kenia</t>
  </si>
  <si>
    <t>Cruz</t>
  </si>
  <si>
    <t>Engr</t>
  </si>
  <si>
    <t>Cell 2</t>
  </si>
  <si>
    <t>M-F</t>
  </si>
  <si>
    <t>Value Streams</t>
  </si>
  <si>
    <t>Validation</t>
  </si>
  <si>
    <t>Christopher</t>
  </si>
  <si>
    <t>Stevens</t>
  </si>
  <si>
    <t>Cell 3</t>
  </si>
  <si>
    <t>CI</t>
  </si>
  <si>
    <t>James-David</t>
  </si>
  <si>
    <t>Eaton</t>
  </si>
  <si>
    <t>Cell 4</t>
  </si>
  <si>
    <t>Dominic</t>
  </si>
  <si>
    <t>Johnson</t>
  </si>
  <si>
    <t>COE</t>
  </si>
  <si>
    <t>Reliability</t>
  </si>
  <si>
    <t>Jerry</t>
  </si>
  <si>
    <t>Nunez</t>
  </si>
  <si>
    <t>Main</t>
  </si>
  <si>
    <t>Process</t>
  </si>
  <si>
    <t>CMMS</t>
  </si>
  <si>
    <t>Ops</t>
  </si>
  <si>
    <t>Joe</t>
  </si>
  <si>
    <t>Primm</t>
  </si>
  <si>
    <t>TL</t>
  </si>
  <si>
    <t>Chris</t>
  </si>
  <si>
    <t>Smith</t>
  </si>
  <si>
    <t>Pro.</t>
  </si>
  <si>
    <t>Training</t>
  </si>
  <si>
    <t>Culture</t>
  </si>
  <si>
    <t>Communications</t>
  </si>
  <si>
    <t>Jade</t>
  </si>
  <si>
    <t>Castle</t>
  </si>
  <si>
    <t xml:space="preserve">Tim </t>
  </si>
  <si>
    <t>Riggle</t>
  </si>
  <si>
    <t>Th-S</t>
  </si>
  <si>
    <t xml:space="preserve">Shane </t>
  </si>
  <si>
    <t>Bishop</t>
  </si>
  <si>
    <t>Safety</t>
  </si>
  <si>
    <t>Juan</t>
  </si>
  <si>
    <t>Rimirez</t>
  </si>
  <si>
    <t>Adam</t>
  </si>
  <si>
    <t>Escalante</t>
  </si>
  <si>
    <t>Sanitation</t>
  </si>
  <si>
    <t>Mohamed</t>
  </si>
  <si>
    <t>Kambal</t>
  </si>
  <si>
    <t>Kashima</t>
  </si>
  <si>
    <t>Pollard</t>
  </si>
  <si>
    <t>Procedures</t>
  </si>
  <si>
    <t>Veronica</t>
  </si>
  <si>
    <t>Zapata</t>
  </si>
  <si>
    <t>M-Th</t>
  </si>
  <si>
    <t>Cent. Weigh</t>
  </si>
  <si>
    <t>Maria</t>
  </si>
  <si>
    <t>Bergreen</t>
  </si>
  <si>
    <t>BJ</t>
  </si>
  <si>
    <t>Jagatheesan</t>
  </si>
  <si>
    <t>Michael</t>
  </si>
  <si>
    <t>Orrson</t>
  </si>
  <si>
    <t>Warehouse</t>
  </si>
  <si>
    <t>Op Ex</t>
  </si>
  <si>
    <t>Ron</t>
  </si>
  <si>
    <t>Petersen</t>
  </si>
  <si>
    <t>Area</t>
  </si>
  <si>
    <t>Bernard</t>
  </si>
  <si>
    <t>Filic</t>
  </si>
  <si>
    <t>Mgr.</t>
  </si>
  <si>
    <t>Processing</t>
  </si>
  <si>
    <t>Packaging</t>
  </si>
  <si>
    <t>Haley</t>
  </si>
  <si>
    <t>Buckley</t>
  </si>
  <si>
    <t>Kim</t>
  </si>
  <si>
    <t>Hicks</t>
  </si>
  <si>
    <t>Dir</t>
  </si>
  <si>
    <t>Erica</t>
  </si>
  <si>
    <t>Bush</t>
  </si>
  <si>
    <t>Delivery</t>
  </si>
  <si>
    <t>Amy</t>
  </si>
  <si>
    <t>Ruiz</t>
  </si>
  <si>
    <t>Tranformation</t>
  </si>
  <si>
    <t>Anthony</t>
  </si>
  <si>
    <t>Denina</t>
  </si>
  <si>
    <t>Dir.</t>
  </si>
  <si>
    <t>Kimberly</t>
  </si>
  <si>
    <t>Primary - 65% of one's time is spent on mastery of the discipline.  Achieve at least 1 major creation or improvement and 2 enhancers that changes the discipline/business over the course of 18 months or less.</t>
  </si>
  <si>
    <t>Secondary - 25% of one's time is spent on thorough understanding of the discipline.  Achieve at least 1 enhancer, directly or in a supportive role, that changes the impact to the discipline/business over the course of 18 months or less.</t>
  </si>
  <si>
    <t>Tertiary - 10% of one's time is spent on understanding of the discipline.  Achieve at least 1 enhancer, in a supportive role, that impacts the discipline/business over the course of 18 months or less.</t>
  </si>
  <si>
    <t>Definitions</t>
  </si>
  <si>
    <t>Quality - Generating and adhering to predetermined regulatory and MK standards while solidifying the culture.  Emphasis to be given on keeping and growing GMP.</t>
  </si>
  <si>
    <t>SMED - Change Over Standards &amp; Takt/Velocity Improvements.</t>
  </si>
  <si>
    <t>Vaule Streams - Flow based on A, B, C and squeues and batches.</t>
  </si>
  <si>
    <t>Safety - Generate and adhere to OSHA, and all governing regulated bodies and grow the culture through the Bradley Curve.</t>
  </si>
  <si>
    <t>Takt</t>
  </si>
  <si>
    <t>Culture - Focus given to the theory of the Bradley Curve with the ultimate goal of interdependence.  This needs to transend everything Ops does.</t>
  </si>
  <si>
    <t>OpEx - The generation of data to produce information which includes realtime visual displays of CTQs/KPIs relative to the health of Ops.</t>
  </si>
  <si>
    <t>Percieved Performance (High Potential, Promotable, Valued Contributor, Placement Issue, Too New)</t>
  </si>
  <si>
    <t>VC</t>
  </si>
  <si>
    <t>PI</t>
  </si>
  <si>
    <t>P</t>
  </si>
  <si>
    <t>HP</t>
  </si>
  <si>
    <t>A</t>
  </si>
  <si>
    <t>E</t>
  </si>
  <si>
    <t>Category</t>
  </si>
  <si>
    <t>Definition</t>
  </si>
  <si>
    <t>Hi Pot</t>
  </si>
  <si>
    <t>Consistently exceeds expectations on both Results and Behaviors. Demonstrates readiness for significant career progression (1-2 levels) immediately.</t>
  </si>
  <si>
    <t>Promotable</t>
  </si>
  <si>
    <t>Exceeds expectations in either Results or Behaviors, and meets expectations in the other. Capable of moving to the next level within a specific function.</t>
  </si>
  <si>
    <t>Valued Contributor</t>
  </si>
  <si>
    <t>Meets expectations in both Results and Behaviors. These individuals represent the solid, core performance of the organization.</t>
  </si>
  <si>
    <t>Placement Issue</t>
  </si>
  <si>
    <t>Below expectations in either Results or Behaviors. Indicates a misalignment between the individual's skills/conduct and the current role's requirements.</t>
  </si>
  <si>
    <t>Too New</t>
  </si>
  <si>
    <t>Individuals in a role for less than six months. No rating is assigned as there is insufficient data to plot against the X/Y axes.</t>
  </si>
  <si>
    <t>&lt; or = 2.5%</t>
  </si>
  <si>
    <t>&lt; or = 2.5% -10%</t>
  </si>
  <si>
    <t>&lt; or = 70%</t>
  </si>
  <si>
    <t>&gt; or = 10%</t>
  </si>
  <si>
    <t>Forced % of Total Population</t>
  </si>
  <si>
    <t>Total %</t>
  </si>
  <si>
    <t>Future Placement Based on Perception</t>
  </si>
  <si>
    <t>C</t>
  </si>
  <si>
    <t>B</t>
  </si>
  <si>
    <t>D</t>
  </si>
  <si>
    <t>Current Placement Based on Perception %</t>
  </si>
  <si>
    <t>Future Placement Based on Perception %</t>
  </si>
  <si>
    <t>Letter Grade</t>
  </si>
  <si>
    <t>Real %</t>
  </si>
  <si>
    <t>CMMS - Centriod to Reliability program.  Ensure it's understood and optimize through inputting required information to mine and generate meaningful reports.</t>
  </si>
  <si>
    <t>Future Primary</t>
  </si>
  <si>
    <t>Future Secondary</t>
  </si>
  <si>
    <t>Future Tertiary</t>
  </si>
  <si>
    <t>Cell 1,2 &amp;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</si>
</sst>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6262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10" fontId="0" fillId="0" borderId="5" xfId="0" applyNumberForma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9" fontId="0" fillId="0" borderId="8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6211-7859-44BC-91A9-2980D226EEBD}">
  <dimension ref="A1:S42"/>
  <sheetViews>
    <sheetView tabSelected="1" workbookViewId="0">
      <selection activeCell="K41" sqref="K41"/>
    </sheetView>
  </sheetViews>
  <sheetFormatPr defaultColWidth="9.1796875" defaultRowHeight="14.5" x14ac:dyDescent="0.35"/>
  <cols>
    <col min="1" max="1" width="12.1796875" style="4" bestFit="1" customWidth="1"/>
    <col min="2" max="2" width="11.81640625" style="4" bestFit="1" customWidth="1"/>
    <col min="3" max="3" width="5.453125" style="4" bestFit="1" customWidth="1"/>
    <col min="4" max="4" width="11.1796875" style="4" bestFit="1" customWidth="1"/>
    <col min="5" max="5" width="9.1796875" style="4"/>
    <col min="6" max="6" width="15.81640625" style="4" bestFit="1" customWidth="1"/>
    <col min="7" max="8" width="13.81640625" style="20" bestFit="1" customWidth="1"/>
    <col min="9" max="9" width="16" style="20" bestFit="1" customWidth="1"/>
    <col min="10" max="10" width="29" style="4" customWidth="1"/>
    <col min="11" max="11" width="26.54296875" style="4" bestFit="1" customWidth="1"/>
    <col min="12" max="13" width="16.81640625" style="4" bestFit="1" customWidth="1"/>
    <col min="14" max="14" width="16.81640625" style="4" customWidth="1"/>
    <col min="15" max="15" width="6.81640625" style="4" customWidth="1"/>
    <col min="16" max="16" width="15.54296875" style="4" bestFit="1" customWidth="1"/>
    <col min="17" max="17" width="69.7265625" style="4" bestFit="1" customWidth="1"/>
    <col min="18" max="18" width="13.54296875" style="4" customWidth="1"/>
    <col min="19" max="19" width="7.453125" style="4" bestFit="1" customWidth="1"/>
    <col min="20" max="16384" width="9.1796875" style="4"/>
  </cols>
  <sheetData>
    <row r="1" spans="1:19" ht="5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1" t="s">
        <v>144</v>
      </c>
      <c r="H1" s="31" t="s">
        <v>145</v>
      </c>
      <c r="I1" s="31" t="s">
        <v>146</v>
      </c>
      <c r="J1" s="31" t="s">
        <v>110</v>
      </c>
      <c r="K1" s="31" t="s">
        <v>139</v>
      </c>
      <c r="L1" s="31" t="s">
        <v>135</v>
      </c>
      <c r="M1" s="32" t="s">
        <v>140</v>
      </c>
      <c r="N1" s="44"/>
      <c r="O1" s="37" t="s">
        <v>141</v>
      </c>
      <c r="P1" s="29" t="s">
        <v>117</v>
      </c>
      <c r="Q1" s="29" t="s">
        <v>118</v>
      </c>
      <c r="R1" s="30" t="s">
        <v>133</v>
      </c>
      <c r="S1" s="3" t="s">
        <v>134</v>
      </c>
    </row>
    <row r="2" spans="1:19" ht="29" x14ac:dyDescent="0.35">
      <c r="A2" s="8" t="s">
        <v>6</v>
      </c>
      <c r="B2" s="9" t="s">
        <v>7</v>
      </c>
      <c r="C2" s="10" t="s">
        <v>8</v>
      </c>
      <c r="D2" s="10"/>
      <c r="E2" s="10">
        <v>1</v>
      </c>
      <c r="F2" s="10" t="s">
        <v>9</v>
      </c>
      <c r="G2" s="22" t="s">
        <v>10</v>
      </c>
      <c r="H2" s="22" t="s">
        <v>11</v>
      </c>
      <c r="I2" s="22" t="s">
        <v>12</v>
      </c>
      <c r="J2" s="10" t="s">
        <v>111</v>
      </c>
      <c r="K2" s="10" t="s">
        <v>136</v>
      </c>
      <c r="L2" s="10" t="s">
        <v>113</v>
      </c>
      <c r="M2" s="23" t="s">
        <v>137</v>
      </c>
      <c r="N2" s="45"/>
      <c r="O2" s="36" t="s">
        <v>115</v>
      </c>
      <c r="P2" s="26" t="s">
        <v>119</v>
      </c>
      <c r="Q2" s="26" t="s">
        <v>120</v>
      </c>
      <c r="R2" s="27" t="s">
        <v>129</v>
      </c>
      <c r="S2" s="28">
        <v>2.5</v>
      </c>
    </row>
    <row r="3" spans="1:19" ht="29" x14ac:dyDescent="0.35">
      <c r="A3" s="8" t="s">
        <v>13</v>
      </c>
      <c r="B3" s="9" t="s">
        <v>14</v>
      </c>
      <c r="C3" s="10" t="s">
        <v>15</v>
      </c>
      <c r="D3" s="10" t="s">
        <v>16</v>
      </c>
      <c r="E3" s="10">
        <v>1</v>
      </c>
      <c r="F3" s="10" t="s">
        <v>17</v>
      </c>
      <c r="G3" s="22" t="s">
        <v>11</v>
      </c>
      <c r="H3" s="22" t="s">
        <v>18</v>
      </c>
      <c r="I3" s="22" t="s">
        <v>19</v>
      </c>
      <c r="J3" s="10" t="s">
        <v>111</v>
      </c>
      <c r="K3" s="10" t="s">
        <v>136</v>
      </c>
      <c r="L3" s="10" t="s">
        <v>113</v>
      </c>
      <c r="M3" s="23" t="s">
        <v>137</v>
      </c>
      <c r="N3" s="46"/>
      <c r="O3" s="34" t="s">
        <v>137</v>
      </c>
      <c r="P3" s="22" t="s">
        <v>121</v>
      </c>
      <c r="Q3" s="22" t="s">
        <v>122</v>
      </c>
      <c r="R3" s="22" t="s">
        <v>130</v>
      </c>
      <c r="S3" s="23">
        <v>7.5</v>
      </c>
    </row>
    <row r="4" spans="1:19" ht="29" x14ac:dyDescent="0.35">
      <c r="A4" s="8" t="s">
        <v>24</v>
      </c>
      <c r="B4" s="9" t="s">
        <v>25</v>
      </c>
      <c r="C4" s="10" t="s">
        <v>15</v>
      </c>
      <c r="D4" s="10" t="s">
        <v>26</v>
      </c>
      <c r="E4" s="10">
        <v>1</v>
      </c>
      <c r="F4" s="10" t="s">
        <v>17</v>
      </c>
      <c r="G4" s="22" t="s">
        <v>10</v>
      </c>
      <c r="H4" s="22" t="s">
        <v>12</v>
      </c>
      <c r="I4" s="22" t="s">
        <v>107</v>
      </c>
      <c r="J4" s="10" t="s">
        <v>111</v>
      </c>
      <c r="K4" s="10" t="s">
        <v>136</v>
      </c>
      <c r="L4" s="10" t="s">
        <v>113</v>
      </c>
      <c r="M4" s="23" t="s">
        <v>137</v>
      </c>
      <c r="N4" s="46"/>
      <c r="O4" s="34" t="s">
        <v>136</v>
      </c>
      <c r="P4" s="22" t="s">
        <v>123</v>
      </c>
      <c r="Q4" s="22" t="s">
        <v>124</v>
      </c>
      <c r="R4" s="22" t="s">
        <v>131</v>
      </c>
      <c r="S4" s="23">
        <v>70</v>
      </c>
    </row>
    <row r="5" spans="1:19" ht="29" x14ac:dyDescent="0.35">
      <c r="A5" s="8" t="s">
        <v>27</v>
      </c>
      <c r="B5" s="9" t="s">
        <v>28</v>
      </c>
      <c r="C5" s="10" t="s">
        <v>15</v>
      </c>
      <c r="D5" s="10" t="s">
        <v>29</v>
      </c>
      <c r="E5" s="10">
        <v>1</v>
      </c>
      <c r="F5" s="10" t="s">
        <v>17</v>
      </c>
      <c r="G5" s="22" t="s">
        <v>30</v>
      </c>
      <c r="H5" s="22" t="s">
        <v>11</v>
      </c>
      <c r="I5" s="22" t="s">
        <v>12</v>
      </c>
      <c r="J5" s="10" t="s">
        <v>111</v>
      </c>
      <c r="K5" s="10" t="s">
        <v>136</v>
      </c>
      <c r="L5" s="10" t="s">
        <v>113</v>
      </c>
      <c r="M5" s="23" t="s">
        <v>137</v>
      </c>
      <c r="N5" s="46"/>
      <c r="O5" s="34" t="s">
        <v>138</v>
      </c>
      <c r="P5" s="22" t="s">
        <v>125</v>
      </c>
      <c r="Q5" s="22" t="s">
        <v>126</v>
      </c>
      <c r="R5" s="22" t="s">
        <v>132</v>
      </c>
      <c r="S5" s="23">
        <v>10</v>
      </c>
    </row>
    <row r="6" spans="1:19" ht="29.5" thickBot="1" x14ac:dyDescent="0.4">
      <c r="A6" s="8" t="s">
        <v>20</v>
      </c>
      <c r="B6" s="9" t="s">
        <v>21</v>
      </c>
      <c r="C6" s="10" t="s">
        <v>15</v>
      </c>
      <c r="D6" s="10" t="s">
        <v>22</v>
      </c>
      <c r="E6" s="10">
        <v>1</v>
      </c>
      <c r="F6" s="10" t="s">
        <v>17</v>
      </c>
      <c r="G6" s="22" t="s">
        <v>18</v>
      </c>
      <c r="H6" s="22" t="s">
        <v>23</v>
      </c>
      <c r="I6" s="22" t="s">
        <v>12</v>
      </c>
      <c r="J6" s="10" t="s">
        <v>111</v>
      </c>
      <c r="K6" s="10" t="s">
        <v>136</v>
      </c>
      <c r="L6" s="10" t="s">
        <v>114</v>
      </c>
      <c r="M6" s="23" t="s">
        <v>115</v>
      </c>
      <c r="N6" s="47"/>
      <c r="O6" s="35" t="s">
        <v>116</v>
      </c>
      <c r="P6" s="24" t="s">
        <v>127</v>
      </c>
      <c r="Q6" s="24" t="s">
        <v>128</v>
      </c>
      <c r="R6" s="24" t="s">
        <v>132</v>
      </c>
      <c r="S6" s="25">
        <v>10</v>
      </c>
    </row>
    <row r="7" spans="1:19" x14ac:dyDescent="0.35">
      <c r="A7" s="8" t="s">
        <v>31</v>
      </c>
      <c r="B7" s="9" t="s">
        <v>32</v>
      </c>
      <c r="C7" s="10" t="s">
        <v>33</v>
      </c>
      <c r="D7" s="10" t="s">
        <v>34</v>
      </c>
      <c r="E7" s="10">
        <v>1</v>
      </c>
      <c r="F7" s="10" t="s">
        <v>17</v>
      </c>
      <c r="G7" s="22" t="s">
        <v>30</v>
      </c>
      <c r="H7" s="22" t="s">
        <v>35</v>
      </c>
      <c r="I7" s="22" t="s">
        <v>36</v>
      </c>
      <c r="J7" s="10" t="s">
        <v>111</v>
      </c>
      <c r="K7" s="10" t="s">
        <v>136</v>
      </c>
      <c r="L7" s="10" t="s">
        <v>111</v>
      </c>
      <c r="M7" s="23" t="s">
        <v>136</v>
      </c>
      <c r="S7" s="4">
        <f>SUM(S2:S6)</f>
        <v>100</v>
      </c>
    </row>
    <row r="8" spans="1:19" ht="15" thickBot="1" x14ac:dyDescent="0.4">
      <c r="A8" s="8" t="s">
        <v>37</v>
      </c>
      <c r="B8" s="9" t="s">
        <v>38</v>
      </c>
      <c r="C8" s="10" t="s">
        <v>33</v>
      </c>
      <c r="D8" s="10" t="s">
        <v>30</v>
      </c>
      <c r="E8" s="10">
        <v>1</v>
      </c>
      <c r="F8" s="10" t="s">
        <v>17</v>
      </c>
      <c r="G8" s="22" t="s">
        <v>39</v>
      </c>
      <c r="H8" s="22" t="s">
        <v>30</v>
      </c>
      <c r="I8" s="22" t="s">
        <v>12</v>
      </c>
      <c r="J8" s="10" t="s">
        <v>112</v>
      </c>
      <c r="K8" s="10" t="s">
        <v>138</v>
      </c>
      <c r="L8" s="10" t="s">
        <v>111</v>
      </c>
      <c r="M8" s="23" t="s">
        <v>136</v>
      </c>
    </row>
    <row r="9" spans="1:19" ht="15" thickBot="1" x14ac:dyDescent="0.4">
      <c r="A9" s="8" t="s">
        <v>40</v>
      </c>
      <c r="B9" s="9" t="s">
        <v>41</v>
      </c>
      <c r="C9" s="10" t="s">
        <v>42</v>
      </c>
      <c r="D9" s="10" t="s">
        <v>43</v>
      </c>
      <c r="E9" s="10">
        <v>1</v>
      </c>
      <c r="F9" s="10" t="s">
        <v>17</v>
      </c>
      <c r="G9" s="22" t="s">
        <v>43</v>
      </c>
      <c r="H9" s="22" t="s">
        <v>44</v>
      </c>
      <c r="I9" s="22" t="s">
        <v>45</v>
      </c>
      <c r="J9" s="10" t="s">
        <v>113</v>
      </c>
      <c r="K9" s="10" t="s">
        <v>137</v>
      </c>
      <c r="L9" s="10" t="s">
        <v>114</v>
      </c>
      <c r="M9" s="23" t="s">
        <v>115</v>
      </c>
      <c r="P9" s="42"/>
      <c r="Q9" s="43"/>
      <c r="R9" s="2" t="s">
        <v>134</v>
      </c>
      <c r="S9" s="3" t="s">
        <v>142</v>
      </c>
    </row>
    <row r="10" spans="1:19" x14ac:dyDescent="0.35">
      <c r="A10" s="8" t="s">
        <v>68</v>
      </c>
      <c r="B10" s="9" t="s">
        <v>69</v>
      </c>
      <c r="C10" s="10" t="s">
        <v>39</v>
      </c>
      <c r="D10" s="10" t="s">
        <v>26</v>
      </c>
      <c r="E10" s="10">
        <v>2</v>
      </c>
      <c r="F10" s="10" t="s">
        <v>9</v>
      </c>
      <c r="G10" s="22" t="s">
        <v>36</v>
      </c>
      <c r="H10" s="22" t="s">
        <v>12</v>
      </c>
      <c r="I10" s="22" t="s">
        <v>53</v>
      </c>
      <c r="J10" s="10" t="s">
        <v>112</v>
      </c>
      <c r="K10" s="10" t="s">
        <v>138</v>
      </c>
      <c r="L10" s="10" t="s">
        <v>111</v>
      </c>
      <c r="M10" s="23" t="s">
        <v>136</v>
      </c>
      <c r="P10" s="36" t="s">
        <v>115</v>
      </c>
      <c r="Q10" s="40">
        <f>2/27</f>
        <v>7.407407407407407E-2</v>
      </c>
      <c r="R10" s="7">
        <f>S2</f>
        <v>2.5</v>
      </c>
      <c r="S10" s="41">
        <f>2.5-7</f>
        <v>-4.5</v>
      </c>
    </row>
    <row r="11" spans="1:19" x14ac:dyDescent="0.35">
      <c r="A11" s="8" t="s">
        <v>51</v>
      </c>
      <c r="B11" s="9" t="s">
        <v>52</v>
      </c>
      <c r="C11" s="10" t="s">
        <v>39</v>
      </c>
      <c r="D11" s="10" t="s">
        <v>16</v>
      </c>
      <c r="E11" s="10">
        <v>2</v>
      </c>
      <c r="F11" s="10" t="s">
        <v>9</v>
      </c>
      <c r="G11" s="22" t="s">
        <v>36</v>
      </c>
      <c r="H11" s="22" t="s">
        <v>53</v>
      </c>
      <c r="I11" s="22" t="s">
        <v>11</v>
      </c>
      <c r="J11" s="10" t="s">
        <v>111</v>
      </c>
      <c r="K11" s="10" t="s">
        <v>136</v>
      </c>
      <c r="L11" s="10" t="s">
        <v>113</v>
      </c>
      <c r="M11" s="23" t="s">
        <v>137</v>
      </c>
      <c r="P11" s="34" t="s">
        <v>137</v>
      </c>
      <c r="Q11" s="38">
        <f>5/27</f>
        <v>0.18518518518518517</v>
      </c>
      <c r="R11" s="10">
        <f>S3</f>
        <v>7.5</v>
      </c>
      <c r="S11" s="23">
        <f>7.5-19</f>
        <v>-11.5</v>
      </c>
    </row>
    <row r="12" spans="1:19" x14ac:dyDescent="0.35">
      <c r="A12" s="8" t="s">
        <v>46</v>
      </c>
      <c r="B12" s="9" t="s">
        <v>47</v>
      </c>
      <c r="C12" s="10" t="s">
        <v>39</v>
      </c>
      <c r="D12" s="10" t="s">
        <v>16</v>
      </c>
      <c r="E12" s="10">
        <v>1</v>
      </c>
      <c r="F12" s="10" t="s">
        <v>17</v>
      </c>
      <c r="G12" s="22" t="s">
        <v>36</v>
      </c>
      <c r="H12" s="22" t="s">
        <v>12</v>
      </c>
      <c r="I12" s="22" t="s">
        <v>11</v>
      </c>
      <c r="J12" s="10" t="s">
        <v>113</v>
      </c>
      <c r="K12" s="10" t="s">
        <v>137</v>
      </c>
      <c r="L12" s="10" t="s">
        <v>113</v>
      </c>
      <c r="M12" s="23" t="s">
        <v>137</v>
      </c>
      <c r="P12" s="34" t="s">
        <v>136</v>
      </c>
      <c r="Q12" s="38">
        <f>16/27</f>
        <v>0.59259259259259256</v>
      </c>
      <c r="R12" s="10">
        <f>S4</f>
        <v>70</v>
      </c>
      <c r="S12" s="23">
        <f>70-59</f>
        <v>11</v>
      </c>
    </row>
    <row r="13" spans="1:19" x14ac:dyDescent="0.35">
      <c r="A13" s="11" t="s">
        <v>56</v>
      </c>
      <c r="B13" s="12" t="s">
        <v>57</v>
      </c>
      <c r="C13" s="13" t="s">
        <v>39</v>
      </c>
      <c r="D13" s="13" t="s">
        <v>26</v>
      </c>
      <c r="E13" s="13">
        <v>1</v>
      </c>
      <c r="F13" s="13" t="s">
        <v>17</v>
      </c>
      <c r="G13" s="22" t="s">
        <v>58</v>
      </c>
      <c r="H13" s="22" t="s">
        <v>12</v>
      </c>
      <c r="I13" s="22" t="s">
        <v>107</v>
      </c>
      <c r="J13" s="10" t="s">
        <v>111</v>
      </c>
      <c r="K13" s="10" t="s">
        <v>136</v>
      </c>
      <c r="L13" s="10" t="s">
        <v>111</v>
      </c>
      <c r="M13" s="23" t="s">
        <v>136</v>
      </c>
      <c r="P13" s="34" t="s">
        <v>138</v>
      </c>
      <c r="Q13" s="38">
        <f>4/27</f>
        <v>0.14814814814814814</v>
      </c>
      <c r="R13" s="10">
        <f>S5</f>
        <v>10</v>
      </c>
      <c r="S13" s="23">
        <f>10-15</f>
        <v>-5</v>
      </c>
    </row>
    <row r="14" spans="1:19" ht="15" thickBot="1" x14ac:dyDescent="0.4">
      <c r="A14" s="8" t="s">
        <v>70</v>
      </c>
      <c r="B14" s="14" t="s">
        <v>71</v>
      </c>
      <c r="C14" s="10" t="s">
        <v>39</v>
      </c>
      <c r="D14" s="10" t="s">
        <v>26</v>
      </c>
      <c r="E14" s="10">
        <v>1</v>
      </c>
      <c r="F14" s="10" t="s">
        <v>50</v>
      </c>
      <c r="G14" s="22" t="s">
        <v>36</v>
      </c>
      <c r="H14" s="22" t="s">
        <v>11</v>
      </c>
      <c r="I14" s="22" t="s">
        <v>12</v>
      </c>
      <c r="J14" s="10" t="s">
        <v>111</v>
      </c>
      <c r="K14" s="10" t="s">
        <v>136</v>
      </c>
      <c r="L14" s="10" t="s">
        <v>113</v>
      </c>
      <c r="M14" s="23" t="s">
        <v>137</v>
      </c>
      <c r="P14" s="35" t="s">
        <v>116</v>
      </c>
      <c r="Q14" s="39">
        <v>0</v>
      </c>
      <c r="R14" s="18">
        <v>0</v>
      </c>
      <c r="S14" s="25">
        <f>R14-0</f>
        <v>0</v>
      </c>
    </row>
    <row r="15" spans="1:19" x14ac:dyDescent="0.35">
      <c r="A15" s="8" t="s">
        <v>59</v>
      </c>
      <c r="B15" s="9" t="s">
        <v>60</v>
      </c>
      <c r="C15" s="10" t="s">
        <v>39</v>
      </c>
      <c r="D15" s="10" t="s">
        <v>26</v>
      </c>
      <c r="E15" s="10">
        <v>1</v>
      </c>
      <c r="F15" s="10" t="s">
        <v>9</v>
      </c>
      <c r="G15" s="22" t="s">
        <v>36</v>
      </c>
      <c r="H15" s="22" t="s">
        <v>12</v>
      </c>
      <c r="I15" s="22" t="s">
        <v>53</v>
      </c>
      <c r="J15" s="10" t="s">
        <v>113</v>
      </c>
      <c r="K15" s="10" t="s">
        <v>137</v>
      </c>
      <c r="L15" s="10" t="s">
        <v>113</v>
      </c>
      <c r="M15" s="23" t="s">
        <v>137</v>
      </c>
    </row>
    <row r="16" spans="1:19" x14ac:dyDescent="0.35">
      <c r="A16" s="8" t="s">
        <v>72</v>
      </c>
      <c r="B16" s="9" t="s">
        <v>73</v>
      </c>
      <c r="C16" s="10" t="s">
        <v>39</v>
      </c>
      <c r="D16" s="10" t="s">
        <v>74</v>
      </c>
      <c r="E16" s="10">
        <v>1</v>
      </c>
      <c r="F16" s="10" t="s">
        <v>17</v>
      </c>
      <c r="G16" s="22" t="s">
        <v>75</v>
      </c>
      <c r="H16" s="22" t="s">
        <v>11</v>
      </c>
      <c r="I16" s="22" t="s">
        <v>74</v>
      </c>
      <c r="J16" s="10" t="s">
        <v>111</v>
      </c>
      <c r="K16" s="10" t="s">
        <v>136</v>
      </c>
      <c r="L16" s="10" t="s">
        <v>113</v>
      </c>
      <c r="M16" s="23" t="s">
        <v>137</v>
      </c>
    </row>
    <row r="17" spans="1:13" x14ac:dyDescent="0.35">
      <c r="A17" s="8" t="s">
        <v>76</v>
      </c>
      <c r="B17" s="9" t="s">
        <v>77</v>
      </c>
      <c r="C17" s="10" t="s">
        <v>39</v>
      </c>
      <c r="D17" s="10"/>
      <c r="E17" s="10">
        <v>2</v>
      </c>
      <c r="F17" s="10" t="s">
        <v>17</v>
      </c>
      <c r="G17" s="22" t="s">
        <v>36</v>
      </c>
      <c r="H17" s="22" t="s">
        <v>63</v>
      </c>
      <c r="I17" s="22" t="s">
        <v>12</v>
      </c>
      <c r="J17" s="10" t="s">
        <v>112</v>
      </c>
      <c r="K17" s="10" t="s">
        <v>138</v>
      </c>
      <c r="L17" s="10" t="s">
        <v>111</v>
      </c>
      <c r="M17" s="23" t="s">
        <v>136</v>
      </c>
    </row>
    <row r="18" spans="1:13" x14ac:dyDescent="0.35">
      <c r="A18" s="8" t="s">
        <v>61</v>
      </c>
      <c r="B18" s="9" t="s">
        <v>62</v>
      </c>
      <c r="C18" s="10" t="s">
        <v>39</v>
      </c>
      <c r="D18" s="10" t="s">
        <v>26</v>
      </c>
      <c r="E18" s="10">
        <v>1</v>
      </c>
      <c r="F18" s="10" t="s">
        <v>50</v>
      </c>
      <c r="G18" s="22" t="s">
        <v>36</v>
      </c>
      <c r="H18" s="22" t="s">
        <v>12</v>
      </c>
      <c r="I18" s="22" t="s">
        <v>63</v>
      </c>
      <c r="J18" s="10" t="s">
        <v>111</v>
      </c>
      <c r="K18" s="10" t="s">
        <v>136</v>
      </c>
      <c r="L18" s="10" t="s">
        <v>113</v>
      </c>
      <c r="M18" s="23" t="s">
        <v>137</v>
      </c>
    </row>
    <row r="19" spans="1:13" x14ac:dyDescent="0.35">
      <c r="A19" s="8" t="s">
        <v>48</v>
      </c>
      <c r="B19" s="9" t="s">
        <v>49</v>
      </c>
      <c r="C19" s="10" t="s">
        <v>39</v>
      </c>
      <c r="D19" s="10" t="s">
        <v>16</v>
      </c>
      <c r="E19" s="10">
        <v>3</v>
      </c>
      <c r="F19" s="10" t="s">
        <v>50</v>
      </c>
      <c r="G19" s="22" t="s">
        <v>36</v>
      </c>
      <c r="H19" s="22" t="s">
        <v>11</v>
      </c>
      <c r="I19" s="22" t="s">
        <v>12</v>
      </c>
      <c r="J19" s="10" t="s">
        <v>111</v>
      </c>
      <c r="K19" s="10" t="s">
        <v>136</v>
      </c>
      <c r="L19" s="10" t="s">
        <v>111</v>
      </c>
      <c r="M19" s="23" t="s">
        <v>136</v>
      </c>
    </row>
    <row r="20" spans="1:13" x14ac:dyDescent="0.35">
      <c r="A20" s="8" t="s">
        <v>54</v>
      </c>
      <c r="B20" s="9" t="s">
        <v>55</v>
      </c>
      <c r="C20" s="10" t="s">
        <v>39</v>
      </c>
      <c r="D20" s="10" t="s">
        <v>16</v>
      </c>
      <c r="E20" s="10">
        <v>1</v>
      </c>
      <c r="F20" s="10" t="s">
        <v>9</v>
      </c>
      <c r="G20" s="22" t="s">
        <v>36</v>
      </c>
      <c r="H20" s="22" t="s">
        <v>53</v>
      </c>
      <c r="I20" s="22" t="s">
        <v>12</v>
      </c>
      <c r="J20" s="10" t="s">
        <v>113</v>
      </c>
      <c r="K20" s="10" t="s">
        <v>137</v>
      </c>
      <c r="L20" s="10" t="s">
        <v>113</v>
      </c>
      <c r="M20" s="23" t="s">
        <v>137</v>
      </c>
    </row>
    <row r="21" spans="1:13" x14ac:dyDescent="0.35">
      <c r="A21" s="8" t="s">
        <v>64</v>
      </c>
      <c r="B21" s="9" t="s">
        <v>65</v>
      </c>
      <c r="C21" s="10" t="s">
        <v>39</v>
      </c>
      <c r="D21" s="10" t="s">
        <v>26</v>
      </c>
      <c r="E21" s="10">
        <v>1</v>
      </c>
      <c r="F21" s="10" t="s">
        <v>66</v>
      </c>
      <c r="G21" s="22" t="s">
        <v>67</v>
      </c>
      <c r="H21" s="22" t="s">
        <v>53</v>
      </c>
      <c r="I21" s="22" t="s">
        <v>12</v>
      </c>
      <c r="J21" s="10" t="s">
        <v>111</v>
      </c>
      <c r="K21" s="10" t="s">
        <v>136</v>
      </c>
      <c r="L21" s="10" t="s">
        <v>111</v>
      </c>
      <c r="M21" s="23" t="s">
        <v>136</v>
      </c>
    </row>
    <row r="22" spans="1:13" ht="15" thickBot="1" x14ac:dyDescent="0.4">
      <c r="A22" s="15"/>
      <c r="B22" s="16"/>
      <c r="C22" s="17"/>
      <c r="D22" s="17"/>
      <c r="E22" s="17"/>
      <c r="F22" s="17"/>
      <c r="G22" s="48"/>
      <c r="H22" s="48"/>
      <c r="I22" s="48"/>
      <c r="J22" s="17"/>
      <c r="K22" s="17"/>
      <c r="L22" s="17"/>
      <c r="M22" s="49"/>
    </row>
    <row r="23" spans="1:13" ht="15" thickBot="1" x14ac:dyDescent="0.4">
      <c r="A23" s="1" t="s">
        <v>0</v>
      </c>
      <c r="B23" s="2" t="s">
        <v>1</v>
      </c>
      <c r="C23" s="2" t="s">
        <v>2</v>
      </c>
      <c r="D23" s="2" t="s">
        <v>78</v>
      </c>
      <c r="E23" s="2" t="s">
        <v>4</v>
      </c>
      <c r="F23" s="2" t="s">
        <v>5</v>
      </c>
      <c r="G23" s="50"/>
      <c r="H23" s="50"/>
      <c r="I23" s="50"/>
      <c r="J23" s="43"/>
      <c r="K23" s="43"/>
      <c r="L23" s="43"/>
      <c r="M23" s="51"/>
    </row>
    <row r="24" spans="1:13" x14ac:dyDescent="0.35">
      <c r="A24" s="8" t="s">
        <v>86</v>
      </c>
      <c r="B24" s="9" t="s">
        <v>87</v>
      </c>
      <c r="C24" s="10" t="s">
        <v>88</v>
      </c>
      <c r="D24" s="10" t="s">
        <v>26</v>
      </c>
      <c r="E24" s="10">
        <v>1</v>
      </c>
      <c r="F24" s="10" t="s">
        <v>17</v>
      </c>
      <c r="G24" s="22" t="s">
        <v>83</v>
      </c>
      <c r="H24" s="22" t="s">
        <v>12</v>
      </c>
      <c r="I24" s="22" t="s">
        <v>11</v>
      </c>
      <c r="J24" s="10" t="s">
        <v>111</v>
      </c>
      <c r="K24" s="10" t="s">
        <v>136</v>
      </c>
      <c r="L24" s="10" t="s">
        <v>113</v>
      </c>
      <c r="M24" s="23" t="s">
        <v>137</v>
      </c>
    </row>
    <row r="25" spans="1:13" x14ac:dyDescent="0.35">
      <c r="A25" s="8" t="s">
        <v>95</v>
      </c>
      <c r="B25" s="9" t="s">
        <v>96</v>
      </c>
      <c r="C25" s="10" t="s">
        <v>97</v>
      </c>
      <c r="D25" s="10" t="s">
        <v>83</v>
      </c>
      <c r="E25" s="10">
        <v>1</v>
      </c>
      <c r="F25" s="10" t="s">
        <v>17</v>
      </c>
      <c r="G25" s="22" t="s">
        <v>53</v>
      </c>
      <c r="H25" s="22" t="s">
        <v>12</v>
      </c>
      <c r="I25" s="22" t="s">
        <v>91</v>
      </c>
      <c r="J25" s="10" t="s">
        <v>112</v>
      </c>
      <c r="K25" s="10" t="s">
        <v>138</v>
      </c>
      <c r="L25" s="10" t="s">
        <v>112</v>
      </c>
      <c r="M25" s="23" t="s">
        <v>138</v>
      </c>
    </row>
    <row r="26" spans="1:13" x14ac:dyDescent="0.35">
      <c r="A26" s="5" t="s">
        <v>89</v>
      </c>
      <c r="B26" s="6" t="s">
        <v>90</v>
      </c>
      <c r="C26" s="7" t="s">
        <v>15</v>
      </c>
      <c r="D26" s="7" t="s">
        <v>26</v>
      </c>
      <c r="E26" s="7">
        <v>1</v>
      </c>
      <c r="F26" s="7" t="s">
        <v>17</v>
      </c>
      <c r="G26" s="26" t="s">
        <v>53</v>
      </c>
      <c r="H26" s="26" t="s">
        <v>12</v>
      </c>
      <c r="I26" s="26" t="s">
        <v>91</v>
      </c>
      <c r="J26" s="7" t="s">
        <v>114</v>
      </c>
      <c r="K26" s="7" t="s">
        <v>115</v>
      </c>
      <c r="L26" s="7" t="s">
        <v>114</v>
      </c>
      <c r="M26" s="28" t="s">
        <v>115</v>
      </c>
    </row>
    <row r="27" spans="1:13" x14ac:dyDescent="0.35">
      <c r="A27" s="8" t="s">
        <v>84</v>
      </c>
      <c r="B27" s="9" t="s">
        <v>85</v>
      </c>
      <c r="C27" s="10" t="s">
        <v>81</v>
      </c>
      <c r="D27" s="10" t="s">
        <v>22</v>
      </c>
      <c r="E27" s="10">
        <v>1</v>
      </c>
      <c r="F27" s="10" t="s">
        <v>17</v>
      </c>
      <c r="G27" s="22" t="s">
        <v>147</v>
      </c>
      <c r="H27" s="22" t="s">
        <v>12</v>
      </c>
      <c r="I27" s="22" t="s">
        <v>53</v>
      </c>
      <c r="J27" s="10" t="s">
        <v>113</v>
      </c>
      <c r="K27" s="10" t="s">
        <v>137</v>
      </c>
      <c r="L27" s="10" t="s">
        <v>114</v>
      </c>
      <c r="M27" s="23" t="s">
        <v>115</v>
      </c>
    </row>
    <row r="28" spans="1:13" x14ac:dyDescent="0.35">
      <c r="A28" s="8" t="s">
        <v>79</v>
      </c>
      <c r="B28" s="9" t="s">
        <v>80</v>
      </c>
      <c r="C28" s="10" t="s">
        <v>81</v>
      </c>
      <c r="D28" s="10" t="s">
        <v>16</v>
      </c>
      <c r="E28" s="10">
        <v>1</v>
      </c>
      <c r="F28" s="10" t="s">
        <v>17</v>
      </c>
      <c r="G28" s="22" t="s">
        <v>74</v>
      </c>
      <c r="H28" s="22" t="s">
        <v>82</v>
      </c>
      <c r="I28" s="22" t="s">
        <v>83</v>
      </c>
      <c r="J28" s="10" t="s">
        <v>111</v>
      </c>
      <c r="K28" s="10" t="s">
        <v>136</v>
      </c>
      <c r="L28" s="10" t="s">
        <v>113</v>
      </c>
      <c r="M28" s="23" t="s">
        <v>137</v>
      </c>
    </row>
    <row r="29" spans="1:13" x14ac:dyDescent="0.35">
      <c r="A29" s="8" t="s">
        <v>98</v>
      </c>
      <c r="B29" s="9" t="s">
        <v>32</v>
      </c>
      <c r="C29" s="10" t="s">
        <v>81</v>
      </c>
      <c r="D29" s="10" t="s">
        <v>74</v>
      </c>
      <c r="E29" s="10">
        <v>1</v>
      </c>
      <c r="F29" s="10" t="s">
        <v>17</v>
      </c>
      <c r="G29" s="22" t="s">
        <v>74</v>
      </c>
      <c r="H29" s="22" t="s">
        <v>107</v>
      </c>
      <c r="I29" s="22" t="s">
        <v>53</v>
      </c>
      <c r="J29" s="10" t="s">
        <v>111</v>
      </c>
      <c r="K29" s="10" t="s">
        <v>136</v>
      </c>
      <c r="L29" s="10" t="s">
        <v>113</v>
      </c>
      <c r="M29" s="23" t="s">
        <v>137</v>
      </c>
    </row>
    <row r="30" spans="1:13" x14ac:dyDescent="0.35">
      <c r="A30" s="8" t="s">
        <v>92</v>
      </c>
      <c r="B30" s="9" t="s">
        <v>93</v>
      </c>
      <c r="C30" s="10" t="s">
        <v>81</v>
      </c>
      <c r="D30" s="10" t="s">
        <v>29</v>
      </c>
      <c r="E30" s="10">
        <v>1</v>
      </c>
      <c r="F30" s="10" t="s">
        <v>17</v>
      </c>
      <c r="G30" s="22" t="s">
        <v>94</v>
      </c>
      <c r="H30" s="22" t="s">
        <v>10</v>
      </c>
      <c r="I30" s="22" t="s">
        <v>45</v>
      </c>
      <c r="J30" s="10" t="s">
        <v>114</v>
      </c>
      <c r="K30" s="10" t="s">
        <v>115</v>
      </c>
      <c r="L30" s="10" t="s">
        <v>114</v>
      </c>
      <c r="M30" s="23" t="s">
        <v>115</v>
      </c>
    </row>
    <row r="31" spans="1:13" ht="15" thickBot="1" x14ac:dyDescent="0.4">
      <c r="A31" s="21"/>
      <c r="B31" s="21"/>
      <c r="G31" s="33"/>
      <c r="H31" s="33"/>
      <c r="I31" s="33"/>
    </row>
    <row r="32" spans="1:13" ht="15" thickBot="1" x14ac:dyDescent="0.4">
      <c r="A32" s="65" t="s">
        <v>102</v>
      </c>
      <c r="B32" s="66"/>
      <c r="C32" s="66"/>
      <c r="D32" s="66"/>
      <c r="E32" s="66"/>
      <c r="F32" s="66"/>
      <c r="G32" s="66"/>
      <c r="H32" s="66"/>
      <c r="I32" s="67"/>
    </row>
    <row r="33" spans="1:11" ht="33" customHeight="1" x14ac:dyDescent="0.35">
      <c r="A33" s="59" t="s">
        <v>99</v>
      </c>
      <c r="B33" s="60"/>
      <c r="C33" s="60"/>
      <c r="D33" s="60"/>
      <c r="E33" s="60"/>
      <c r="F33" s="60"/>
      <c r="G33" s="60"/>
      <c r="H33" s="60"/>
      <c r="I33" s="61"/>
    </row>
    <row r="34" spans="1:11" ht="33.75" customHeight="1" x14ac:dyDescent="0.35">
      <c r="A34" s="62" t="s">
        <v>100</v>
      </c>
      <c r="B34" s="63"/>
      <c r="C34" s="63"/>
      <c r="D34" s="63"/>
      <c r="E34" s="63"/>
      <c r="F34" s="63"/>
      <c r="G34" s="63"/>
      <c r="H34" s="63"/>
      <c r="I34" s="64"/>
    </row>
    <row r="35" spans="1:11" ht="33" customHeight="1" x14ac:dyDescent="0.35">
      <c r="A35" s="62" t="s">
        <v>101</v>
      </c>
      <c r="B35" s="63"/>
      <c r="C35" s="63"/>
      <c r="D35" s="63"/>
      <c r="E35" s="63"/>
      <c r="F35" s="63"/>
      <c r="G35" s="63"/>
      <c r="H35" s="63"/>
      <c r="I35" s="64"/>
    </row>
    <row r="36" spans="1:11" ht="15" customHeight="1" x14ac:dyDescent="0.35">
      <c r="A36" s="62" t="s">
        <v>104</v>
      </c>
      <c r="B36" s="63"/>
      <c r="C36" s="63"/>
      <c r="D36" s="63"/>
      <c r="E36" s="63"/>
      <c r="F36" s="63"/>
      <c r="G36" s="63"/>
      <c r="H36" s="63"/>
      <c r="I36" s="64"/>
    </row>
    <row r="37" spans="1:11" ht="33.75" customHeight="1" x14ac:dyDescent="0.35">
      <c r="A37" s="62" t="s">
        <v>103</v>
      </c>
      <c r="B37" s="63"/>
      <c r="C37" s="63"/>
      <c r="D37" s="63"/>
      <c r="E37" s="63"/>
      <c r="F37" s="63"/>
      <c r="G37" s="63"/>
      <c r="H37" s="63"/>
      <c r="I37" s="64"/>
    </row>
    <row r="38" spans="1:11" ht="33.75" customHeight="1" x14ac:dyDescent="0.35">
      <c r="A38" s="62" t="s">
        <v>143</v>
      </c>
      <c r="B38" s="63"/>
      <c r="C38" s="63"/>
      <c r="D38" s="63"/>
      <c r="E38" s="63"/>
      <c r="F38" s="63"/>
      <c r="G38" s="63"/>
      <c r="H38" s="63"/>
      <c r="I38" s="64"/>
    </row>
    <row r="39" spans="1:11" x14ac:dyDescent="0.35">
      <c r="A39" s="68" t="s">
        <v>105</v>
      </c>
      <c r="B39" s="69"/>
      <c r="C39" s="69"/>
      <c r="D39" s="69"/>
      <c r="E39" s="69"/>
      <c r="F39" s="69"/>
      <c r="G39" s="69"/>
      <c r="H39" s="69"/>
      <c r="I39" s="70"/>
    </row>
    <row r="40" spans="1:11" x14ac:dyDescent="0.35">
      <c r="A40" s="54" t="s">
        <v>106</v>
      </c>
      <c r="B40" s="52"/>
      <c r="C40" s="52"/>
      <c r="D40" s="52"/>
      <c r="E40" s="52"/>
      <c r="F40" s="52"/>
      <c r="G40" s="53"/>
      <c r="H40" s="53"/>
      <c r="I40" s="55"/>
      <c r="J40" s="19"/>
      <c r="K40" s="19"/>
    </row>
    <row r="41" spans="1:11" ht="27.75" customHeight="1" x14ac:dyDescent="0.35">
      <c r="A41" s="62" t="s">
        <v>108</v>
      </c>
      <c r="B41" s="63"/>
      <c r="C41" s="63"/>
      <c r="D41" s="63"/>
      <c r="E41" s="63"/>
      <c r="F41" s="63"/>
      <c r="G41" s="63"/>
      <c r="H41" s="63"/>
      <c r="I41" s="64"/>
    </row>
    <row r="42" spans="1:11" ht="33.75" customHeight="1" thickBot="1" x14ac:dyDescent="0.4">
      <c r="A42" s="56" t="s">
        <v>109</v>
      </c>
      <c r="B42" s="57"/>
      <c r="C42" s="57"/>
      <c r="D42" s="57"/>
      <c r="E42" s="57"/>
      <c r="F42" s="57"/>
      <c r="G42" s="57"/>
      <c r="H42" s="57"/>
      <c r="I42" s="58"/>
    </row>
  </sheetData>
  <sortState xmlns:xlrd2="http://schemas.microsoft.com/office/spreadsheetml/2017/richdata2" ref="A2:M21">
    <sortCondition ref="C2:C21"/>
    <sortCondition ref="B2:B21"/>
  </sortState>
  <mergeCells count="10">
    <mergeCell ref="A42:I42"/>
    <mergeCell ref="A33:I33"/>
    <mergeCell ref="A34:I34"/>
    <mergeCell ref="A35:I35"/>
    <mergeCell ref="A32:I32"/>
    <mergeCell ref="A36:I36"/>
    <mergeCell ref="A37:I37"/>
    <mergeCell ref="A39:I39"/>
    <mergeCell ref="A38:I38"/>
    <mergeCell ref="A41:I41"/>
  </mergeCells>
  <pageMargins left="0.7" right="0.7" top="0.75" bottom="0.75" header="0.3" footer="0.3"/>
  <pageSetup paperSize="3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Ballo</dc:creator>
  <cp:lastModifiedBy>Smith, Chris</cp:lastModifiedBy>
  <cp:lastPrinted>2026-03-26T13:00:11Z</cp:lastPrinted>
  <dcterms:created xsi:type="dcterms:W3CDTF">2026-03-25T20:51:37Z</dcterms:created>
  <dcterms:modified xsi:type="dcterms:W3CDTF">2026-04-07T22:43:20Z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8a689-5786-47ec-8879-c4322cfa9558_Enabled">
    <vt:lpwstr>true</vt:lpwstr>
  </property>
  <property fmtid="{D5CDD505-2E9C-101B-9397-08002B2CF9AE}" pid="3" name="MSIP_Label_7a08a689-5786-47ec-8879-c4322cfa9558_SetDate">
    <vt:lpwstr>2026-04-07T22:36:33Z</vt:lpwstr>
  </property>
  <property fmtid="{D5CDD505-2E9C-101B-9397-08002B2CF9AE}" pid="4" name="MSIP_Label_7a08a689-5786-47ec-8879-c4322cfa9558_Method">
    <vt:lpwstr>Standard</vt:lpwstr>
  </property>
  <property fmtid="{D5CDD505-2E9C-101B-9397-08002B2CF9AE}" pid="5" name="MSIP_Label_7a08a689-5786-47ec-8879-c4322cfa9558_Name">
    <vt:lpwstr>7a08a689-5786-47ec-8879-c4322cfa9558</vt:lpwstr>
  </property>
  <property fmtid="{D5CDD505-2E9C-101B-9397-08002B2CF9AE}" pid="6" name="MSIP_Label_7a08a689-5786-47ec-8879-c4322cfa9558_SiteId">
    <vt:lpwstr>8eb73218-837f-41d8-a48c-1c1f942b2b2a</vt:lpwstr>
  </property>
  <property fmtid="{D5CDD505-2E9C-101B-9397-08002B2CF9AE}" pid="7" name="MSIP_Label_7a08a689-5786-47ec-8879-c4322cfa9558_ActionId">
    <vt:lpwstr>0b5ce38e-6a2d-4da5-9dc9-d98ff3d78cf8</vt:lpwstr>
  </property>
  <property fmtid="{D5CDD505-2E9C-101B-9397-08002B2CF9AE}" pid="8" name="MSIP_Label_7a08a689-5786-47ec-8879-c4322cfa9558_ContentBits">
    <vt:lpwstr>0</vt:lpwstr>
  </property>
  <property fmtid="{D5CDD505-2E9C-101B-9397-08002B2CF9AE}" pid="9" name="MSIP_Label_7a08a689-5786-47ec-8879-c4322cfa9558_Tag">
    <vt:lpwstr>10, 3, 0, 1</vt:lpwstr>
  </property>
</Properties>
</file>